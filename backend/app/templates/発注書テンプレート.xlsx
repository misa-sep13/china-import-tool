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発注書" sheetId="1" state="visible" r:id="rId1"/>
  </sheets>
  <definedNames>
    <definedName name="_xlnm.Print_Area" localSheetId="0">'発注書'!$A$1:$G$47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0_ "/>
    <numFmt numFmtId="166" formatCode="#,##0&quot; 円&quot;\ \(&quot;税&quot;&quot;込&quot;\)"/>
  </numFmts>
  <fonts count="1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游ゴシック"/>
      <family val="2"/>
      <color theme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34"/>
      <family val="4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0"/>
      <sz val="12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color theme="0"/>
      <sz val="12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rgb="FFFFFFFF"/>
      <sz val="12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2E2E2E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</fills>
  <borders count="24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rgb="FF2E2E2E"/>
      </right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 style="thin">
        <color rgb="FF2E2E2E"/>
      </left>
      <right/>
      <top style="thin">
        <color rgb="FF2E2E2E"/>
      </top>
      <bottom style="thin">
        <color theme="0" tint="-0.3499862666707358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/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46592608417"/>
      </left>
      <right style="thin">
        <color theme="0" tint="-0.3499862666707358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0">
    <xf numFmtId="0" fontId="1" fillId="0" borderId="0" applyAlignment="1">
      <alignment vertical="center"/>
    </xf>
    <xf numFmtId="6" fontId="1" fillId="0" borderId="0" applyAlignment="1">
      <alignment vertical="center"/>
    </xf>
    <xf numFmtId="0" fontId="3" fillId="0" borderId="0"/>
    <xf numFmtId="0" fontId="4" fillId="0" borderId="0"/>
    <xf numFmtId="38" fontId="4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41" fontId="6" fillId="0" borderId="0" applyAlignment="1">
      <alignment vertical="center"/>
    </xf>
    <xf numFmtId="0" fontId="7" fillId="0" borderId="0" applyAlignment="1">
      <alignment vertical="center"/>
    </xf>
    <xf numFmtId="38" fontId="7" fillId="0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8">
      <alignment vertical="center"/>
    </xf>
    <xf numFmtId="0" fontId="8" fillId="2" borderId="0" applyAlignment="1" pivotButton="0" quotePrefix="0" xfId="8">
      <alignment horizontal="center" vertical="center"/>
    </xf>
    <xf numFmtId="38" fontId="9" fillId="0" borderId="0" applyAlignment="1" pivotButton="0" quotePrefix="0" xfId="9">
      <alignment vertical="center"/>
    </xf>
    <xf numFmtId="0" fontId="9" fillId="0" borderId="0" applyAlignment="1" pivotButton="0" quotePrefix="0" xfId="8">
      <alignment horizontal="right" vertical="center"/>
    </xf>
    <xf numFmtId="0" fontId="10" fillId="3" borderId="0" applyAlignment="1" pivotButton="0" quotePrefix="0" xfId="8">
      <alignment horizontal="center" vertical="center"/>
    </xf>
    <xf numFmtId="0" fontId="9" fillId="0" borderId="0" applyAlignment="1" pivotButton="0" quotePrefix="0" xfId="8">
      <alignment horizontal="center" vertical="center"/>
    </xf>
    <xf numFmtId="0" fontId="11" fillId="0" borderId="0" applyAlignment="1" pivotButton="0" quotePrefix="0" xfId="8">
      <alignment horizontal="center" vertical="center"/>
    </xf>
    <xf numFmtId="38" fontId="9" fillId="0" borderId="1" applyAlignment="1" pivotButton="0" quotePrefix="0" xfId="9">
      <alignment vertical="center"/>
    </xf>
    <xf numFmtId="0" fontId="10" fillId="3" borderId="4" applyAlignment="1" pivotButton="0" quotePrefix="0" xfId="8">
      <alignment horizontal="center" vertical="center"/>
    </xf>
    <xf numFmtId="0" fontId="7" fillId="0" borderId="0" applyAlignment="1" pivotButton="0" quotePrefix="0" xfId="8">
      <alignment horizontal="center" vertical="center"/>
    </xf>
    <xf numFmtId="14" fontId="7" fillId="0" borderId="0" applyAlignment="1" pivotButton="0" quotePrefix="0" xfId="8">
      <alignment horizontal="left" vertical="center"/>
    </xf>
    <xf numFmtId="14" fontId="7" fillId="0" borderId="0" applyAlignment="1" pivotButton="0" quotePrefix="0" xfId="8">
      <alignment vertical="center"/>
    </xf>
    <xf numFmtId="0" fontId="14" fillId="0" borderId="0" applyAlignment="1" pivotButton="0" quotePrefix="0" xfId="8">
      <alignment horizontal="center" vertical="center"/>
    </xf>
    <xf numFmtId="0" fontId="10" fillId="3" borderId="5" applyAlignment="1" pivotButton="0" quotePrefix="0" xfId="8">
      <alignment horizontal="center" vertical="center"/>
    </xf>
    <xf numFmtId="38" fontId="7" fillId="0" borderId="14" applyAlignment="1" pivotButton="0" quotePrefix="0" xfId="8">
      <alignment vertical="center"/>
    </xf>
    <xf numFmtId="38" fontId="7" fillId="0" borderId="15" applyAlignment="1" pivotButton="0" quotePrefix="0" xfId="8">
      <alignment vertical="center"/>
    </xf>
    <xf numFmtId="0" fontId="5" fillId="0" borderId="1" applyAlignment="1" applyProtection="1" pivotButton="0" quotePrefix="0" xfId="0">
      <alignment vertical="center" shrinkToFit="1"/>
      <protection locked="1" hidden="1"/>
    </xf>
    <xf numFmtId="164" fontId="7" fillId="0" borderId="0" applyAlignment="1" pivotButton="0" quotePrefix="0" xfId="8">
      <alignment horizontal="right" vertical="center"/>
    </xf>
    <xf numFmtId="164" fontId="7" fillId="0" borderId="0" applyAlignment="1" pivotButton="0" quotePrefix="0" xfId="8">
      <alignment vertical="center"/>
    </xf>
    <xf numFmtId="164" fontId="10" fillId="3" borderId="4" applyAlignment="1" pivotButton="0" quotePrefix="0" xfId="8">
      <alignment horizontal="center" vertical="center"/>
    </xf>
    <xf numFmtId="164" fontId="10" fillId="3" borderId="3" applyAlignment="1" pivotButton="0" quotePrefix="0" xfId="8">
      <alignment horizontal="center" vertical="center"/>
    </xf>
    <xf numFmtId="164" fontId="5" fillId="0" borderId="16" applyAlignment="1" applyProtection="1" pivotButton="0" quotePrefix="0" xfId="1">
      <alignment vertical="center"/>
      <protection locked="1" hidden="1"/>
    </xf>
    <xf numFmtId="164" fontId="9" fillId="0" borderId="1" applyAlignment="1" pivotButton="0" quotePrefix="0" xfId="9">
      <alignment vertical="center"/>
    </xf>
    <xf numFmtId="164" fontId="10" fillId="3" borderId="0" applyAlignment="1" pivotButton="0" quotePrefix="0" xfId="8">
      <alignment horizontal="center" vertical="center"/>
    </xf>
    <xf numFmtId="164" fontId="7" fillId="0" borderId="1" applyAlignment="1" pivotButton="0" quotePrefix="0" xfId="8">
      <alignment vertical="center"/>
    </xf>
    <xf numFmtId="165" fontId="16" fillId="0" borderId="2" applyAlignment="1" pivotButton="0" quotePrefix="0" xfId="8">
      <alignment vertical="center"/>
    </xf>
    <xf numFmtId="0" fontId="16" fillId="0" borderId="2" applyAlignment="1" pivotButton="0" quotePrefix="0" xfId="8">
      <alignment vertical="center"/>
    </xf>
    <xf numFmtId="0" fontId="15" fillId="0" borderId="17" applyAlignment="1" pivotButton="0" quotePrefix="0" xfId="0">
      <alignment horizontal="left" vertical="center"/>
    </xf>
    <xf numFmtId="14" fontId="7" fillId="0" borderId="0" applyAlignment="1" pivotButton="0" quotePrefix="0" xfId="8">
      <alignment horizontal="right" vertical="center"/>
    </xf>
    <xf numFmtId="165" fontId="11" fillId="0" borderId="2" applyAlignment="1" pivotButton="0" quotePrefix="0" xfId="8">
      <alignment vertical="center"/>
    </xf>
    <xf numFmtId="0" fontId="8" fillId="2" borderId="0" applyAlignment="1" pivotButton="0" quotePrefix="0" xfId="8">
      <alignment horizontal="center" vertical="center"/>
    </xf>
    <xf numFmtId="0" fontId="14" fillId="0" borderId="0" applyAlignment="1" pivotButton="0" quotePrefix="0" xfId="8">
      <alignment horizontal="center" vertical="center"/>
    </xf>
    <xf numFmtId="0" fontId="14" fillId="0" borderId="0" applyAlignment="1" pivotButton="0" quotePrefix="0" xfId="8">
      <alignment horizontal="left" vertical="top"/>
    </xf>
    <xf numFmtId="0" fontId="13" fillId="4" borderId="13" applyAlignment="1" pivotButton="0" quotePrefix="0" xfId="8">
      <alignment horizontal="center" vertical="center"/>
    </xf>
    <xf numFmtId="0" fontId="13" fillId="4" borderId="9" applyAlignment="1" pivotButton="0" quotePrefix="0" xfId="8">
      <alignment horizontal="center" vertical="center"/>
    </xf>
    <xf numFmtId="166" fontId="12" fillId="0" borderId="12" applyAlignment="1" pivotButton="0" quotePrefix="0" xfId="8">
      <alignment horizontal="left" vertical="center"/>
    </xf>
    <xf numFmtId="166" fontId="12" fillId="0" borderId="11" applyAlignment="1" pivotButton="0" quotePrefix="0" xfId="8">
      <alignment horizontal="left" vertical="center"/>
    </xf>
    <xf numFmtId="166" fontId="12" fillId="0" borderId="10" applyAlignment="1" pivotButton="0" quotePrefix="0" xfId="8">
      <alignment horizontal="left" vertical="center"/>
    </xf>
    <xf numFmtId="166" fontId="12" fillId="0" borderId="8" applyAlignment="1" pivotButton="0" quotePrefix="0" xfId="8">
      <alignment horizontal="left" vertical="center"/>
    </xf>
    <xf numFmtId="166" fontId="12" fillId="0" borderId="7" applyAlignment="1" pivotButton="0" quotePrefix="0" xfId="8">
      <alignment horizontal="left" vertical="center"/>
    </xf>
    <xf numFmtId="166" fontId="12" fillId="0" borderId="6" applyAlignment="1" pivotButton="0" quotePrefix="0" xfId="8">
      <alignment horizontal="left" vertical="center"/>
    </xf>
    <xf numFmtId="164" fontId="7" fillId="0" borderId="0" applyAlignment="1" pivotButton="0" quotePrefix="0" xfId="8">
      <alignment vertical="center"/>
    </xf>
    <xf numFmtId="0" fontId="0" fillId="0" borderId="0" pivotButton="0" quotePrefix="0" xfId="0"/>
    <xf numFmtId="164" fontId="7" fillId="0" borderId="0" applyAlignment="1" pivotButton="0" quotePrefix="0" xfId="8">
      <alignment horizontal="right" vertical="center"/>
    </xf>
    <xf numFmtId="0" fontId="13" fillId="4" borderId="18" applyAlignment="1" pivotButton="0" quotePrefix="0" xfId="8">
      <alignment horizontal="center" vertical="center"/>
    </xf>
    <xf numFmtId="166" fontId="12" fillId="0" borderId="21" applyAlignment="1" pivotButton="0" quotePrefix="0" xfId="8">
      <alignment horizontal="left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164" fontId="10" fillId="3" borderId="4" applyAlignment="1" pivotButton="0" quotePrefix="0" xfId="8">
      <alignment horizontal="center" vertical="center"/>
    </xf>
    <xf numFmtId="164" fontId="10" fillId="3" borderId="3" applyAlignment="1" pivotButton="0" quotePrefix="0" xfId="8">
      <alignment horizontal="center" vertical="center"/>
    </xf>
    <xf numFmtId="165" fontId="16" fillId="0" borderId="2" applyAlignment="1" pivotButton="0" quotePrefix="0" xfId="8">
      <alignment vertical="center"/>
    </xf>
    <xf numFmtId="165" fontId="11" fillId="0" borderId="2" applyAlignment="1" pivotButton="0" quotePrefix="0" xfId="8">
      <alignment vertical="center"/>
    </xf>
    <xf numFmtId="164" fontId="5" fillId="0" borderId="16" applyAlignment="1" applyProtection="1" pivotButton="0" quotePrefix="0" xfId="1">
      <alignment vertical="center"/>
      <protection locked="1" hidden="1"/>
    </xf>
    <xf numFmtId="164" fontId="9" fillId="0" borderId="1" applyAlignment="1" pivotButton="0" quotePrefix="0" xfId="9">
      <alignment vertical="center"/>
    </xf>
    <xf numFmtId="164" fontId="10" fillId="3" borderId="0" applyAlignment="1" pivotButton="0" quotePrefix="0" xfId="8">
      <alignment horizontal="center" vertical="center"/>
    </xf>
    <xf numFmtId="164" fontId="7" fillId="0" borderId="1" applyAlignment="1" pivotButton="0" quotePrefix="0" xfId="8">
      <alignment vertical="center"/>
    </xf>
  </cellXfs>
  <cellStyles count="10">
    <cellStyle name="標準" xfId="0" builtinId="0"/>
    <cellStyle name="通貨" xfId="1" builtinId="7"/>
    <cellStyle name="標準 2" xfId="2"/>
    <cellStyle name="標準 3" xfId="3"/>
    <cellStyle name="桁区切り 2" xfId="4"/>
    <cellStyle name="標準 4" xfId="5"/>
    <cellStyle name="標準 11" xfId="6"/>
    <cellStyle name="桁区切り 5" xfId="7"/>
    <cellStyle name="標準 5" xfId="8"/>
    <cellStyle name="桁区切り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showZeros="0" tabSelected="1" zoomScale="85" zoomScaleNormal="85" zoomScalePageLayoutView="120" workbookViewId="0">
      <selection activeCell="F45" sqref="F45"/>
    </sheetView>
  </sheetViews>
  <sheetFormatPr baseColWidth="8" defaultColWidth="11" defaultRowHeight="19.5"/>
  <cols>
    <col width="13.875" customWidth="1" style="1" min="1" max="1"/>
    <col width="14.75" customWidth="1" style="1" min="2" max="2"/>
    <col width="50.625" customWidth="1" style="1" min="3" max="3"/>
    <col width="14" customWidth="1" style="42" min="4" max="4"/>
    <col width="8.125" customWidth="1" style="42" min="5" max="5"/>
    <col width="14.25" bestFit="1" customWidth="1" style="42" min="6" max="6"/>
    <col width="14.25" customWidth="1" style="1" min="7" max="7"/>
    <col width="11" customWidth="1" style="1" min="8" max="16384"/>
  </cols>
  <sheetData>
    <row r="1" ht="44.1" customHeight="1" s="43">
      <c r="A1" s="32" t="inlineStr">
        <is>
          <t>発　注　書</t>
        </is>
      </c>
      <c r="G1" s="32" t="n"/>
    </row>
    <row r="2" ht="19.5" customHeight="1" s="43">
      <c r="A2" s="33" t="n"/>
      <c r="E2" s="44" t="inlineStr">
        <is>
          <t>No</t>
        </is>
      </c>
      <c r="F2" s="44" t="n"/>
    </row>
    <row r="3" ht="19.5" customHeight="1" s="43">
      <c r="E3" s="44" t="inlineStr">
        <is>
          <t>発注日</t>
        </is>
      </c>
      <c r="F3" s="29">
        <f>TODAY()</f>
        <v/>
      </c>
      <c r="G3" s="12" t="n"/>
    </row>
    <row r="5">
      <c r="A5" s="1" t="inlineStr">
        <is>
          <t>下記のとおり、発注致します。</t>
        </is>
      </c>
      <c r="E5" s="42" t="inlineStr">
        <is>
          <t>株式会社美園工芸社</t>
        </is>
      </c>
    </row>
    <row r="6">
      <c r="A6" s="5" t="inlineStr">
        <is>
          <t>件名</t>
        </is>
      </c>
      <c r="E6" s="42" t="inlineStr">
        <is>
          <t>〒337-0024</t>
        </is>
      </c>
    </row>
    <row r="7">
      <c r="A7" s="5" t="inlineStr">
        <is>
          <t>納期</t>
        </is>
      </c>
      <c r="B7" s="11" t="n"/>
      <c r="E7" s="42" t="inlineStr">
        <is>
          <t>埼玉県さいたま市見沼区片柳1092</t>
        </is>
      </c>
    </row>
    <row r="8">
      <c r="A8" s="5" t="inlineStr">
        <is>
          <t>納品場所</t>
        </is>
      </c>
      <c r="B8" s="1" t="n"/>
    </row>
    <row r="9">
      <c r="A9" s="5" t="inlineStr">
        <is>
          <t>支払条件</t>
        </is>
      </c>
      <c r="E9" s="42" t="inlineStr">
        <is>
          <t>TEL：048-615-6699</t>
        </is>
      </c>
    </row>
    <row r="10">
      <c r="A10" s="10" t="n"/>
      <c r="E10" s="42" t="inlineStr">
        <is>
          <t>担当：白井美沙</t>
        </is>
      </c>
    </row>
    <row r="11" ht="19.5" customHeight="1" s="43">
      <c r="A11" s="45" t="inlineStr">
        <is>
          <t>合計</t>
        </is>
      </c>
      <c r="B11" s="46">
        <f>F45</f>
        <v/>
      </c>
      <c r="C11" s="47" t="n"/>
      <c r="D11" s="48" t="n"/>
    </row>
    <row r="12" ht="19.5" customHeight="1" s="43">
      <c r="A12" s="49" t="n"/>
      <c r="B12" s="50" t="n"/>
      <c r="C12" s="51" t="n"/>
      <c r="D12" s="52" t="n"/>
    </row>
    <row r="14">
      <c r="A14" s="14" t="inlineStr">
        <is>
          <t>商品番号</t>
        </is>
      </c>
      <c r="B14" s="14" t="inlineStr">
        <is>
          <t>JANコード</t>
        </is>
      </c>
      <c r="C14" s="9" t="inlineStr">
        <is>
          <t>商品名</t>
        </is>
      </c>
      <c r="D14" s="53" t="inlineStr">
        <is>
          <t>単価</t>
        </is>
      </c>
      <c r="E14" s="53" t="inlineStr">
        <is>
          <t>数量</t>
        </is>
      </c>
      <c r="F14" s="54" t="inlineStr">
        <is>
          <t>金額</t>
        </is>
      </c>
      <c r="G14" s="5" t="inlineStr">
        <is>
          <t>備考</t>
        </is>
      </c>
    </row>
    <row r="15" ht="21.95" customHeight="1" s="43">
      <c r="A15" s="55" t="n"/>
      <c r="B15" s="56" t="n"/>
      <c r="C15" s="17" t="n"/>
      <c r="D15" s="57" t="n"/>
      <c r="E15" s="57" t="n"/>
      <c r="F15" s="57">
        <f>IF(D15="","",D15*E15)</f>
        <v/>
      </c>
      <c r="G15" s="8" t="n"/>
    </row>
    <row r="16" ht="21.95" customHeight="1" s="43">
      <c r="A16" s="55" t="n"/>
      <c r="B16" s="56" t="n"/>
      <c r="C16" s="17" t="n"/>
      <c r="D16" s="57" t="n"/>
      <c r="E16" s="57" t="n"/>
      <c r="F16" s="57">
        <f>IF(D16="","",D16*E16)</f>
        <v/>
      </c>
      <c r="G16" s="8" t="n"/>
    </row>
    <row r="17" ht="21.95" customHeight="1" s="43">
      <c r="A17" s="55" t="n"/>
      <c r="B17" s="56" t="n"/>
      <c r="C17" s="17" t="n"/>
      <c r="D17" s="57" t="n"/>
      <c r="E17" s="57" t="n"/>
      <c r="F17" s="57">
        <f>IF(D17="","",D17*E17)</f>
        <v/>
      </c>
      <c r="G17" s="8" t="n"/>
    </row>
    <row r="18" ht="21.95" customHeight="1" s="43">
      <c r="A18" s="55" t="n"/>
      <c r="B18" s="56" t="n"/>
      <c r="C18" s="17" t="n"/>
      <c r="D18" s="57" t="n"/>
      <c r="E18" s="57" t="n"/>
      <c r="F18" s="57">
        <f>IF(D18="","",D18*E18)</f>
        <v/>
      </c>
      <c r="G18" s="8" t="n"/>
    </row>
    <row r="19" ht="21.95" customHeight="1" s="43">
      <c r="A19" s="55" t="n"/>
      <c r="B19" s="56" t="n"/>
      <c r="C19" s="17" t="n"/>
      <c r="D19" s="57" t="n"/>
      <c r="E19" s="57" t="n"/>
      <c r="F19" s="57">
        <f>IF(D19="","",D19*E19)</f>
        <v/>
      </c>
      <c r="G19" s="8" t="n"/>
    </row>
    <row r="20" ht="21.95" customHeight="1" s="43">
      <c r="A20" s="55" t="n"/>
      <c r="B20" s="56" t="n"/>
      <c r="C20" s="17" t="n"/>
      <c r="D20" s="57" t="n"/>
      <c r="E20" s="58" t="n"/>
      <c r="F20" s="57">
        <f>IF(D20="","",D20*E20)</f>
        <v/>
      </c>
      <c r="G20" s="8" t="n"/>
    </row>
    <row r="21" ht="21.95" customHeight="1" s="43">
      <c r="A21" s="55" t="n"/>
      <c r="B21" s="56" t="n"/>
      <c r="C21" s="17" t="n"/>
      <c r="D21" s="57" t="n"/>
      <c r="E21" s="58" t="n"/>
      <c r="F21" s="57">
        <f>IF(D21="","",D21*E21)</f>
        <v/>
      </c>
      <c r="G21" s="8" t="n"/>
    </row>
    <row r="22" ht="21.95" customHeight="1" s="43">
      <c r="A22" s="55" t="n"/>
      <c r="B22" s="56" t="n"/>
      <c r="C22" s="17" t="n"/>
      <c r="D22" s="57" t="n"/>
      <c r="E22" s="58" t="n"/>
      <c r="F22" s="57">
        <f>IF(D22="","",D22*E22)</f>
        <v/>
      </c>
      <c r="G22" s="8" t="n"/>
    </row>
    <row r="23" ht="21.95" customHeight="1" s="43">
      <c r="A23" s="55" t="n"/>
      <c r="B23" s="56" t="n"/>
      <c r="C23" s="17" t="n"/>
      <c r="D23" s="57" t="n"/>
      <c r="E23" s="58" t="n"/>
      <c r="F23" s="57">
        <f>IF(D23="","",D23*E23)</f>
        <v/>
      </c>
      <c r="G23" s="8" t="n"/>
    </row>
    <row r="24" ht="21.95" customHeight="1" s="43">
      <c r="A24" s="55" t="n"/>
      <c r="B24" s="56" t="n"/>
      <c r="C24" s="17" t="n"/>
      <c r="D24" s="57" t="n"/>
      <c r="E24" s="58" t="n"/>
      <c r="F24" s="57">
        <f>IF(D24="","",D24*E24)</f>
        <v/>
      </c>
      <c r="G24" s="8" t="n"/>
    </row>
    <row r="25" ht="21.95" customHeight="1" s="43">
      <c r="A25" s="55" t="n"/>
      <c r="B25" s="56" t="n"/>
      <c r="C25" s="17" t="n"/>
      <c r="D25" s="57" t="n"/>
      <c r="E25" s="58" t="n"/>
      <c r="F25" s="57">
        <f>IF(D25="","",D25*E25)</f>
        <v/>
      </c>
      <c r="G25" s="8" t="n"/>
    </row>
    <row r="26" ht="21.95" customHeight="1" s="43">
      <c r="A26" s="55" t="n"/>
      <c r="B26" s="56" t="n"/>
      <c r="C26" s="17" t="n"/>
      <c r="D26" s="57" t="n"/>
      <c r="E26" s="58" t="n"/>
      <c r="F26" s="57">
        <f>IF(D26="","",D26*E26)</f>
        <v/>
      </c>
      <c r="G26" s="8" t="n"/>
    </row>
    <row r="27" ht="21.95" customHeight="1" s="43">
      <c r="A27" s="55" t="n"/>
      <c r="B27" s="56" t="n"/>
      <c r="C27" s="17" t="n"/>
      <c r="D27" s="57" t="n"/>
      <c r="E27" s="58" t="n"/>
      <c r="F27" s="57">
        <f>IF(D27="","",D27*E27)</f>
        <v/>
      </c>
      <c r="G27" s="8" t="n"/>
    </row>
    <row r="28" ht="21.95" customHeight="1" s="43">
      <c r="A28" s="28" t="n"/>
      <c r="B28" s="56" t="n"/>
      <c r="C28" s="17" t="n"/>
      <c r="D28" s="57" t="n"/>
      <c r="E28" s="58" t="n"/>
      <c r="F28" s="57">
        <f>IF(D28="","",D28*E28)</f>
        <v/>
      </c>
      <c r="G28" s="8" t="n"/>
    </row>
    <row r="29" ht="21.95" customHeight="1" s="43">
      <c r="A29" s="28" t="n"/>
      <c r="B29" s="56" t="n"/>
      <c r="C29" s="17" t="n"/>
      <c r="D29" s="57" t="n"/>
      <c r="E29" s="58" t="n"/>
      <c r="F29" s="57">
        <f>IF(D29="","",D29*E29)</f>
        <v/>
      </c>
      <c r="G29" s="8" t="n"/>
    </row>
    <row r="30" ht="21.95" customHeight="1" s="43">
      <c r="A30" s="28" t="n"/>
      <c r="B30" s="56" t="n"/>
      <c r="C30" s="17" t="n"/>
      <c r="D30" s="57" t="n"/>
      <c r="E30" s="58" t="n"/>
      <c r="F30" s="57">
        <f>IF(D30="","",D30*E30)</f>
        <v/>
      </c>
      <c r="G30" s="8" t="n"/>
    </row>
    <row r="31" ht="21.95" customHeight="1" s="43">
      <c r="A31" s="28" t="n"/>
      <c r="B31" s="56" t="n"/>
      <c r="C31" s="17" t="n"/>
      <c r="D31" s="57" t="n"/>
      <c r="E31" s="58" t="n"/>
      <c r="F31" s="57">
        <f>IF(D31="","",D31*E31)</f>
        <v/>
      </c>
      <c r="G31" s="8" t="n"/>
    </row>
    <row r="32" ht="21.95" customHeight="1" s="43">
      <c r="A32" s="28" t="n"/>
      <c r="B32" s="56" t="n"/>
      <c r="C32" s="17" t="n"/>
      <c r="D32" s="57" t="n"/>
      <c r="E32" s="58" t="n"/>
      <c r="F32" s="57">
        <f>IF(D32="","",D32*E32)</f>
        <v/>
      </c>
      <c r="G32" s="8" t="n"/>
    </row>
    <row r="33" ht="21.95" customHeight="1" s="43">
      <c r="A33" s="28" t="n"/>
      <c r="B33" s="56" t="n"/>
      <c r="C33" s="17" t="n"/>
      <c r="D33" s="57" t="n"/>
      <c r="E33" s="58" t="n"/>
      <c r="F33" s="57">
        <f>IF(D33="","",D33*E33)</f>
        <v/>
      </c>
      <c r="G33" s="8" t="n"/>
    </row>
    <row r="34" ht="21.95" customHeight="1" s="43">
      <c r="A34" s="28" t="n"/>
      <c r="B34" s="56" t="n"/>
      <c r="C34" s="17" t="n"/>
      <c r="D34" s="57" t="n"/>
      <c r="E34" s="58" t="n"/>
      <c r="F34" s="57">
        <f>IF(D34="","",D34*E34)</f>
        <v/>
      </c>
      <c r="G34" s="8" t="n"/>
    </row>
    <row r="35" ht="21.95" customHeight="1" s="43">
      <c r="A35" s="28" t="n"/>
      <c r="B35" s="56" t="n"/>
      <c r="C35" s="17" t="n"/>
      <c r="D35" s="57" t="n"/>
      <c r="E35" s="58" t="n"/>
      <c r="F35" s="57">
        <f>IF(D35="","",D35*E35)</f>
        <v/>
      </c>
      <c r="G35" s="8" t="n"/>
    </row>
    <row r="36" ht="21.95" customHeight="1" s="43">
      <c r="A36" s="28" t="n"/>
      <c r="B36" s="56" t="n"/>
      <c r="C36" s="17" t="n"/>
      <c r="D36" s="57" t="n"/>
      <c r="E36" s="58" t="n"/>
      <c r="F36" s="57">
        <f>IF(D36="","",D36*E36)</f>
        <v/>
      </c>
      <c r="G36" s="8" t="n"/>
    </row>
    <row r="37" ht="21.95" customHeight="1" s="43">
      <c r="A37" s="28" t="n"/>
      <c r="B37" s="56" t="n"/>
      <c r="C37" s="17" t="n"/>
      <c r="D37" s="57" t="n"/>
      <c r="E37" s="58" t="n"/>
      <c r="F37" s="57">
        <f>IF(D37="","",D37*E37)</f>
        <v/>
      </c>
      <c r="G37" s="8" t="n"/>
    </row>
    <row r="38" ht="21.95" customHeight="1" s="43">
      <c r="A38" s="28" t="n"/>
      <c r="B38" s="56" t="n"/>
      <c r="C38" s="17" t="n"/>
      <c r="D38" s="57" t="n"/>
      <c r="E38" s="58" t="n"/>
      <c r="F38" s="57">
        <f>IF(D38="","",D38*E38)</f>
        <v/>
      </c>
      <c r="G38" s="8" t="n"/>
    </row>
    <row r="39" ht="21.95" customHeight="1" s="43">
      <c r="A39" s="27" t="n"/>
      <c r="B39" s="56" t="n"/>
      <c r="C39" s="17" t="n"/>
      <c r="D39" s="57" t="n"/>
      <c r="E39" s="58" t="n"/>
      <c r="F39" s="57">
        <f>IF(D39="","",D39*E39)</f>
        <v/>
      </c>
      <c r="G39" s="8" t="n"/>
    </row>
    <row r="40" ht="21.95" customHeight="1" s="43">
      <c r="A40" s="27" t="n"/>
      <c r="B40" s="56" t="n"/>
      <c r="C40" s="17" t="n"/>
      <c r="D40" s="57" t="n"/>
      <c r="E40" s="58" t="n"/>
      <c r="F40" s="57">
        <f>IF(D40="","",D40*E40)</f>
        <v/>
      </c>
      <c r="G40" s="8" t="n"/>
    </row>
    <row r="41" ht="21.95" customHeight="1" s="43">
      <c r="A41" s="27" t="n"/>
      <c r="B41" s="56" t="n"/>
      <c r="C41" s="17" t="n"/>
      <c r="D41" s="57" t="n"/>
      <c r="E41" s="58" t="n"/>
      <c r="F41" s="57">
        <f>IF(D41="","",D41*E41)</f>
        <v/>
      </c>
      <c r="G41" s="8" t="n"/>
    </row>
    <row r="42" ht="21.95" customHeight="1" s="43">
      <c r="A42" s="27" t="n"/>
      <c r="B42" s="56" t="n"/>
      <c r="C42" s="17" t="n"/>
      <c r="D42" s="57" t="n"/>
      <c r="E42" s="58" t="n"/>
      <c r="F42" s="57">
        <f>IF(D42="","",D42*E42)</f>
        <v/>
      </c>
      <c r="G42" s="8" t="n"/>
    </row>
    <row r="43">
      <c r="E43" s="59" t="inlineStr">
        <is>
          <t>小計</t>
        </is>
      </c>
      <c r="F43" s="60">
        <f>SUM(F15:F42)</f>
        <v/>
      </c>
      <c r="G43" s="15" t="n"/>
    </row>
    <row r="44">
      <c r="A44" s="7" t="n"/>
      <c r="B44" s="6" t="n"/>
      <c r="C44" s="6" t="n"/>
      <c r="E44" s="59" t="inlineStr">
        <is>
          <t>消費税</t>
        </is>
      </c>
      <c r="F44" s="60">
        <f>F43*0.1</f>
        <v/>
      </c>
      <c r="G44" s="16" t="n"/>
    </row>
    <row r="45">
      <c r="A45" s="4" t="n"/>
      <c r="B45" s="3" t="n"/>
      <c r="C45" s="3" t="n"/>
      <c r="E45" s="59" t="inlineStr">
        <is>
          <t>合計</t>
        </is>
      </c>
      <c r="F45" s="60">
        <f>ROUNDDOWN(SUM(F43+F44), 0)</f>
        <v/>
      </c>
      <c r="G45" s="16" t="n"/>
    </row>
    <row r="46">
      <c r="A46" s="4" t="n"/>
      <c r="B46" s="3" t="n"/>
      <c r="C46" s="3" t="n"/>
    </row>
    <row r="47">
      <c r="A47" s="31" t="inlineStr">
        <is>
          <t>備考</t>
        </is>
      </c>
      <c r="G47" s="31" t="n"/>
    </row>
  </sheetData>
  <mergeCells count="5">
    <mergeCell ref="A47:F47"/>
    <mergeCell ref="B11:D12"/>
    <mergeCell ref="A1:F1"/>
    <mergeCell ref="A2:D3"/>
    <mergeCell ref="A11:A12"/>
  </mergeCells>
  <pageMargins left="0.5118110236220472" right="0.5118110236220472" top="0.7480314960629921" bottom="0.7480314960629921" header="0.3149606299212598" footer="0.3149606299212598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白井美沙</dc:creator>
  <dcterms:created xmlns:dcterms="http://purl.org/dc/terms/" xmlns:xsi="http://www.w3.org/2001/XMLSchema-instance" xsi:type="dcterms:W3CDTF">2021-11-15T11:24:12Z</dcterms:created>
  <dcterms:modified xmlns:dcterms="http://purl.org/dc/terms/" xmlns:xsi="http://www.w3.org/2001/XMLSchema-instance" xsi:type="dcterms:W3CDTF">2026-08-30T14:24:54Z</dcterms:modified>
  <cp:lastModifiedBy>美沙 白井</cp:lastModifiedBy>
  <cp:lastPrinted>2023-11-28T07:17:13Z</cp:lastPrinted>
</cp:coreProperties>
</file>